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 20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4" fontId="1" fillId="0" borderId="0" xfId="0" applyNumberFormat="1" applyFont="1"/>
    <xf numFmtId="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.0" customWidth="1"/>
    <col min="2" max="2" width="10.0" customWidth="1"/>
    <col min="3" max="3" width="10.0" customWidth="1"/>
    <col min="4" max="4" width="10.0" customWidth="1"/>
    <col min="5" max="5" width="10.0" customWidth="1"/>
    <col min="6" max="6" width="10.0" customWidth="1"/>
    <col min="7" max="7" width="10.0" customWidth="1"/>
    <col min="8" max="8" width="10.0" customWidth="1"/>
    <col min="9" max="9" width="10.0" customWidth="1"/>
    <col min="10" max="10" width="10.0" customWidth="1"/>
    <col min="11" max="11" width="10.0" customWidth="1"/>
    <col min="12" max="12" width="10.0" customWidth="1"/>
    <col min="13" max="13" width="10.0" customWidth="1"/>
    <col min="14" max="14" width="10.0" customWidth="1"/>
  </cols>
  <sheetData>
    <row r="1">
      <c r="A1" t="inlineStr" s="1">
        <is>
          <t xml:space="preserve">Household budget 2026</t>
        </is>
      </c>
    </row>
    <row r="2"/>
    <row r="3">
      <c r="A3" t="inlineStr" s="1">
        <is>
          <t xml:space="preserve">Category</t>
        </is>
      </c>
      <c r="B3" t="inlineStr" s="1">
        <is>
          <t xml:space="preserve">Jan</t>
        </is>
      </c>
      <c r="C3" t="inlineStr" s="1">
        <is>
          <t xml:space="preserve">Feb</t>
        </is>
      </c>
      <c r="D3" t="inlineStr" s="1">
        <is>
          <t xml:space="preserve">Mar</t>
        </is>
      </c>
      <c r="E3" t="inlineStr" s="1">
        <is>
          <t xml:space="preserve">Apr</t>
        </is>
      </c>
      <c r="F3" t="inlineStr" s="1">
        <is>
          <t xml:space="preserve">May</t>
        </is>
      </c>
      <c r="G3" t="inlineStr" s="1">
        <is>
          <t xml:space="preserve">Jun</t>
        </is>
      </c>
      <c r="H3" t="inlineStr" s="1">
        <is>
          <t xml:space="preserve">Jul</t>
        </is>
      </c>
      <c r="I3" t="inlineStr" s="1">
        <is>
          <t xml:space="preserve">Aug</t>
        </is>
      </c>
      <c r="J3" t="inlineStr" s="1">
        <is>
          <t xml:space="preserve">Sep</t>
        </is>
      </c>
      <c r="K3" t="inlineStr" s="1">
        <is>
          <t xml:space="preserve">Oct</t>
        </is>
      </c>
      <c r="L3" t="inlineStr" s="1">
        <is>
          <t xml:space="preserve">Nov</t>
        </is>
      </c>
      <c r="M3" t="inlineStr" s="1">
        <is>
          <t xml:space="preserve">Dec</t>
        </is>
      </c>
      <c r="N3" t="inlineStr" s="1">
        <is>
          <t xml:space="preserve">Total</t>
        </is>
      </c>
    </row>
    <row r="4">
      <c r="A4" t="inlineStr">
        <is>
          <t xml:space="preserve">Salary (net)</t>
        </is>
      </c>
      <c r="B4" s="2">
        <v>2184.57</v>
      </c>
      <c r="C4" s="2">
        <v>2184.57</v>
      </c>
      <c r="D4" s="2">
        <v>2184.57</v>
      </c>
      <c r="E4" s="2">
        <v>2184.57</v>
      </c>
      <c r="F4" s="2">
        <v>2184.57</v>
      </c>
      <c r="G4" s="2">
        <v>2184.57</v>
      </c>
      <c r="H4" s="2">
        <v>2184.57</v>
      </c>
      <c r="I4" s="2">
        <v>2184.57</v>
      </c>
      <c r="J4" s="2">
        <v>2184.57</v>
      </c>
      <c r="K4" s="2">
        <v>2184.57</v>
      </c>
      <c r="L4" s="2">
        <v>2184.57</v>
      </c>
      <c r="M4" s="2">
        <v>2184.57</v>
      </c>
      <c r="N4" s="2">
        <f>SUM(B4:M4)</f>
        <v>26214.84</v>
      </c>
    </row>
    <row r="5">
      <c r="A5" t="inlineStr">
        <is>
          <t xml:space="preserve">Rent</t>
        </is>
      </c>
      <c r="B5" s="2">
        <v>950.00</v>
      </c>
      <c r="C5" s="2">
        <v>950.00</v>
      </c>
      <c r="D5" s="2">
        <v>950.00</v>
      </c>
      <c r="E5" s="2">
        <v>950.00</v>
      </c>
      <c r="F5" s="2">
        <v>950.00</v>
      </c>
      <c r="G5" s="2">
        <v>950.00</v>
      </c>
      <c r="H5" s="2">
        <v>950.00</v>
      </c>
      <c r="I5" s="2">
        <v>950.00</v>
      </c>
      <c r="J5" s="2">
        <v>950.00</v>
      </c>
      <c r="K5" s="2">
        <v>950.00</v>
      </c>
      <c r="L5" s="2">
        <v>950.00</v>
      </c>
      <c r="M5" s="2">
        <v>950.00</v>
      </c>
      <c r="N5" s="2">
        <f>SUM(B5:M5)</f>
        <v>11400.00</v>
      </c>
    </row>
    <row r="6">
      <c r="A6" t="inlineStr">
        <is>
          <t xml:space="preserve">Electricity</t>
        </is>
      </c>
      <c r="B6" s="2">
        <v>61.61</v>
      </c>
      <c r="C6" s="2">
        <v>73.82</v>
      </c>
      <c r="D6" s="2">
        <v>62.21</v>
      </c>
      <c r="E6" s="2">
        <v>69.35</v>
      </c>
      <c r="F6" s="2">
        <v>57.64</v>
      </c>
      <c r="G6" s="2">
        <v>72.48</v>
      </c>
      <c r="H6" s="2">
        <v>63.41</v>
      </c>
      <c r="I6" s="2">
        <v>62.08</v>
      </c>
      <c r="J6" s="2">
        <v>61.11</v>
      </c>
      <c r="K6" s="2">
        <v>69.08</v>
      </c>
      <c r="L6" s="2">
        <v>55.48</v>
      </c>
      <c r="M6" s="2">
        <v>64.57</v>
      </c>
      <c r="N6" s="2">
        <f>SUM(B6:M6)</f>
        <v>772.84</v>
      </c>
    </row>
    <row r="7">
      <c r="A7" t="inlineStr">
        <is>
          <t xml:space="preserve">Water</t>
        </is>
      </c>
      <c r="B7" s="2">
        <v>16.99</v>
      </c>
      <c r="C7" s="2">
        <v>20.20</v>
      </c>
      <c r="D7" s="2">
        <v>21.62</v>
      </c>
      <c r="E7" s="2">
        <v>23.44</v>
      </c>
      <c r="F7" s="2">
        <v>14.02</v>
      </c>
      <c r="G7" s="2">
        <v>14.07</v>
      </c>
      <c r="H7" s="2">
        <v>17.47</v>
      </c>
      <c r="I7" s="2">
        <v>18.46</v>
      </c>
      <c r="J7" s="2">
        <v>24.90</v>
      </c>
      <c r="K7" s="2">
        <v>24.95</v>
      </c>
      <c r="L7" s="2">
        <v>16.03</v>
      </c>
      <c r="M7" s="2">
        <v>16.80</v>
      </c>
      <c r="N7" s="2">
        <f>SUM(B7:M7)</f>
        <v>228.95</v>
      </c>
    </row>
    <row r="8">
      <c r="A8" t="inlineStr">
        <is>
          <t xml:space="preserve">Internet &amp; TV</t>
        </is>
      </c>
      <c r="B8" s="2">
        <v>56.58</v>
      </c>
      <c r="C8" s="2">
        <v>56.58</v>
      </c>
      <c r="D8" s="2">
        <v>56.58</v>
      </c>
      <c r="E8" s="2">
        <v>56.58</v>
      </c>
      <c r="F8" s="2">
        <v>56.58</v>
      </c>
      <c r="G8" s="2">
        <v>56.58</v>
      </c>
      <c r="H8" s="2">
        <v>56.58</v>
      </c>
      <c r="I8" s="2">
        <v>56.58</v>
      </c>
      <c r="J8" s="2">
        <v>56.58</v>
      </c>
      <c r="K8" s="2">
        <v>56.58</v>
      </c>
      <c r="L8" s="2">
        <v>56.58</v>
      </c>
      <c r="M8" s="2">
        <v>56.58</v>
      </c>
      <c r="N8" s="2">
        <f>SUM(B8:M8)</f>
        <v>678.96</v>
      </c>
    </row>
    <row r="9">
      <c r="A9" t="inlineStr">
        <is>
          <t xml:space="preserve">Groceries</t>
        </is>
      </c>
      <c r="B9" s="2">
        <v>341.68</v>
      </c>
      <c r="C9" s="2">
        <v>337.92</v>
      </c>
      <c r="D9" s="2">
        <v>354.52</v>
      </c>
      <c r="E9" s="2">
        <v>387.23</v>
      </c>
      <c r="F9" s="2">
        <v>299.37</v>
      </c>
      <c r="G9" s="2">
        <v>391.84</v>
      </c>
      <c r="H9" s="2">
        <v>334.26</v>
      </c>
      <c r="I9" s="2">
        <v>288.18</v>
      </c>
      <c r="J9" s="2">
        <v>300.10</v>
      </c>
      <c r="K9" s="2">
        <v>412.60</v>
      </c>
      <c r="L9" s="2">
        <v>352.40</v>
      </c>
      <c r="M9" s="2">
        <v>304.49</v>
      </c>
      <c r="N9" s="2">
        <f>SUM(B9:M9)</f>
        <v>4104.59</v>
      </c>
    </row>
    <row r="10">
      <c r="A10" t="inlineStr">
        <is>
          <t xml:space="preserve">Transport</t>
        </is>
      </c>
      <c r="B10" s="2">
        <v>60.97</v>
      </c>
      <c r="C10" s="2">
        <v>56.51</v>
      </c>
      <c r="D10" s="2">
        <v>65.35</v>
      </c>
      <c r="E10" s="2">
        <v>82.50</v>
      </c>
      <c r="F10" s="2">
        <v>79.43</v>
      </c>
      <c r="G10" s="2">
        <v>41.44</v>
      </c>
      <c r="H10" s="2">
        <v>59.12</v>
      </c>
      <c r="I10" s="2">
        <v>54.25</v>
      </c>
      <c r="J10" s="2">
        <v>51.05</v>
      </c>
      <c r="K10" s="2">
        <v>54.68</v>
      </c>
      <c r="L10" s="2">
        <v>62.64</v>
      </c>
      <c r="M10" s="2">
        <v>83.72</v>
      </c>
      <c r="N10" s="2">
        <f>SUM(B10:M10)</f>
        <v>751.66</v>
      </c>
    </row>
    <row r="11">
      <c r="A11" t="inlineStr">
        <is>
          <t xml:space="preserve">Health insurance</t>
        </is>
      </c>
      <c r="B11" s="2">
        <v>39.00</v>
      </c>
      <c r="C11" s="2">
        <v>39.00</v>
      </c>
      <c r="D11" s="2">
        <v>39.00</v>
      </c>
      <c r="E11" s="2">
        <v>39.00</v>
      </c>
      <c r="F11" s="2">
        <v>39.00</v>
      </c>
      <c r="G11" s="2">
        <v>39.00</v>
      </c>
      <c r="H11" s="2">
        <v>39.00</v>
      </c>
      <c r="I11" s="2">
        <v>39.00</v>
      </c>
      <c r="J11" s="2">
        <v>39.00</v>
      </c>
      <c r="K11" s="2">
        <v>39.00</v>
      </c>
      <c r="L11" s="2">
        <v>39.00</v>
      </c>
      <c r="M11" s="2">
        <v>39.00</v>
      </c>
      <c r="N11" s="2">
        <f>SUM(B11:M11)</f>
        <v>468.00</v>
      </c>
    </row>
    <row r="12">
      <c r="A12" t="inlineStr">
        <is>
          <t xml:space="preserve">Eating out</t>
        </is>
      </c>
      <c r="B12" s="2">
        <v>146.52</v>
      </c>
      <c r="C12" s="2">
        <v>174.03</v>
      </c>
      <c r="D12" s="2">
        <v>163.22</v>
      </c>
      <c r="E12" s="2">
        <v>153.04</v>
      </c>
      <c r="F12" s="2">
        <v>82.27</v>
      </c>
      <c r="G12" s="2">
        <v>166.91</v>
      </c>
      <c r="H12" s="2">
        <v>63.15</v>
      </c>
      <c r="I12" s="2">
        <v>82.25</v>
      </c>
      <c r="J12" s="2">
        <v>100.35</v>
      </c>
      <c r="K12" s="2">
        <v>98.05</v>
      </c>
      <c r="L12" s="2">
        <v>81.35</v>
      </c>
      <c r="M12" s="2">
        <v>122.29</v>
      </c>
      <c r="N12" s="2">
        <f>SUM(B12:M12)</f>
        <v>1433.43</v>
      </c>
    </row>
    <row r="13"/>
    <row r="14">
      <c r="A14" t="inlineStr" s="1">
        <is>
          <t xml:space="preserve">Expenses</t>
        </is>
      </c>
      <c r="B14" s="3">
        <f>SUM(B5:B12)</f>
        <v>1673.35</v>
      </c>
      <c r="C14" s="3">
        <f>SUM(C5:C12)</f>
        <v>1708.06</v>
      </c>
      <c r="D14" s="3">
        <f>SUM(D5:D12)</f>
        <v>1712.50</v>
      </c>
      <c r="E14" s="3">
        <f>SUM(E5:E12)</f>
        <v>1761.14</v>
      </c>
      <c r="F14" s="3">
        <f>SUM(F5:F12)</f>
        <v>1578.31</v>
      </c>
      <c r="G14" s="3">
        <f>SUM(G5:G12)</f>
        <v>1732.32</v>
      </c>
      <c r="H14" s="3">
        <f>SUM(H5:H12)</f>
        <v>1582.99</v>
      </c>
      <c r="I14" s="3">
        <f>SUM(I5:I12)</f>
        <v>1550.80</v>
      </c>
      <c r="J14" s="3">
        <f>SUM(J5:J12)</f>
        <v>1583.09</v>
      </c>
      <c r="K14" s="3">
        <f>SUM(K5:K12)</f>
        <v>1704.94</v>
      </c>
      <c r="L14" s="3">
        <f>SUM(L5:L12)</f>
        <v>1613.48</v>
      </c>
      <c r="M14" s="3">
        <f>SUM(M5:M12)</f>
        <v>1637.45</v>
      </c>
      <c r="N14" s="3">
        <f>SUM(N5:N12)</f>
        <v>19838.43</v>
      </c>
    </row>
    <row r="15">
      <c r="A15" t="inlineStr" s="1">
        <is>
          <t xml:space="preserve">Balance</t>
        </is>
      </c>
      <c r="B15" s="3">
        <f>B4-B14</f>
        <v>511.22</v>
      </c>
      <c r="C15" s="3">
        <f>C4-C14</f>
        <v>476.51</v>
      </c>
      <c r="D15" s="3">
        <f>D4-D14</f>
        <v>472.07</v>
      </c>
      <c r="E15" s="3">
        <f>E4-E14</f>
        <v>423.43</v>
      </c>
      <c r="F15" s="3">
        <f>F4-F14</f>
        <v>606.26</v>
      </c>
      <c r="G15" s="3">
        <f>G4-G14</f>
        <v>452.25</v>
      </c>
      <c r="H15" s="3">
        <f>H4-H14</f>
        <v>601.58</v>
      </c>
      <c r="I15" s="3">
        <f>I4-I14</f>
        <v>633.77</v>
      </c>
      <c r="J15" s="3">
        <f>J4-J14</f>
        <v>601.48</v>
      </c>
      <c r="K15" s="3">
        <f>K4-K14</f>
        <v>479.63</v>
      </c>
      <c r="L15" s="3">
        <f>L4-L14</f>
        <v>571.09</v>
      </c>
      <c r="M15" s="3">
        <f>M4-M14</f>
        <v>547.12</v>
      </c>
      <c r="N15" s="3">
        <f>N4-N14</f>
        <v>6376.41</v>
      </c>
    </row>
    <row r="16"/>
    <row r="17">
      <c r="A17" t="inlineStr">
        <is>
          <t xml:space="preserve">Notes: keep a 10% emergency fund; review the electricity tariff in October.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Household budget 2026</dc:title>
  <dc:creator>Alex Sample</dc:creator>
  <dcterms:created xsi:type="dcterms:W3CDTF">2026-01-04T09:00:00Z</dcterms:created>
  <dcterms:modified xsi:type="dcterms:W3CDTF">2026-01-04T09:00:00Z</dcterms:modified>
</cp:coreProperties>
</file>